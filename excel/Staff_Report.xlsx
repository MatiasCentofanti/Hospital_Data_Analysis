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ia\Desktop\Hospital_Data_Analysis\excel\"/>
    </mc:Choice>
  </mc:AlternateContent>
  <xr:revisionPtr revIDLastSave="0" documentId="13_ncr:1_{1E15E693-D0F9-4FF4-986D-FFF17E993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icio" sheetId="4" r:id="rId1"/>
    <sheet name="Datos" sheetId="1" r:id="rId2"/>
    <sheet name="Reporte" sheetId="2" r:id="rId3"/>
    <sheet name="Buscador_Pacientes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747D2-4F7B-422C-A64C-009D10EE2C3D}" keepAlive="1" name="Consulta - staff" description="Conexión a la consulta 'staff' en el libro." type="5" refreshedVersion="0" background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<sst xmlns="http://schemas.openxmlformats.org/spreadsheetml/2006/main" count="456" uniqueCount="239">
  <si>
    <t>staff_id</t>
  </si>
  <si>
    <t>staff_name</t>
  </si>
  <si>
    <t>role</t>
  </si>
  <si>
    <t>service</t>
  </si>
  <si>
    <t>STF-5ca26577</t>
  </si>
  <si>
    <t>Allison Hill</t>
  </si>
  <si>
    <t>doctor</t>
  </si>
  <si>
    <t>emergency</t>
  </si>
  <si>
    <t>STF-02ae59ca</t>
  </si>
  <si>
    <t>Noah Rhodes</t>
  </si>
  <si>
    <t>STF-d8006e7c</t>
  </si>
  <si>
    <t>Angie Henderson</t>
  </si>
  <si>
    <t>STF-212d8b31</t>
  </si>
  <si>
    <t>Daniel Wagner</t>
  </si>
  <si>
    <t>STF-107a58e4</t>
  </si>
  <si>
    <t>Cristian Santos</t>
  </si>
  <si>
    <t>STF-ca932dea</t>
  </si>
  <si>
    <t>Connie Lawrence</t>
  </si>
  <si>
    <t>nurse</t>
  </si>
  <si>
    <t>STF-39082289</t>
  </si>
  <si>
    <t>Abigail Shaffer</t>
  </si>
  <si>
    <t>STF-702887af</t>
  </si>
  <si>
    <t>Gina Moore</t>
  </si>
  <si>
    <t>STF-249f63bb</t>
  </si>
  <si>
    <t>Gabrielle Davis</t>
  </si>
  <si>
    <t>STF-094f410b</t>
  </si>
  <si>
    <t>Ryan Munoz</t>
  </si>
  <si>
    <t>STF-d7ab0c23</t>
  </si>
  <si>
    <t>Monica Herrera</t>
  </si>
  <si>
    <t>STF-e51bdcb4</t>
  </si>
  <si>
    <t>Jamie Arnold</t>
  </si>
  <si>
    <t>STF-8cabb71f</t>
  </si>
  <si>
    <t>Lisa Hensley</t>
  </si>
  <si>
    <t>STF-34c0563d</t>
  </si>
  <si>
    <t>Michele Williams</t>
  </si>
  <si>
    <t>STF-130577e6</t>
  </si>
  <si>
    <t>Dylan Miller</t>
  </si>
  <si>
    <t>STF-768c9d6f</t>
  </si>
  <si>
    <t>Brian Ramirez</t>
  </si>
  <si>
    <t>STF-abec8336</t>
  </si>
  <si>
    <t>Holly Wood</t>
  </si>
  <si>
    <t>STF-6f6535f8</t>
  </si>
  <si>
    <t>Derek Zuniga</t>
  </si>
  <si>
    <t>STF-b4fb711c</t>
  </si>
  <si>
    <t>Lisa Jackson</t>
  </si>
  <si>
    <t>STF-434f45a6</t>
  </si>
  <si>
    <t>Carla Gray</t>
  </si>
  <si>
    <t>STF-db5926dd</t>
  </si>
  <si>
    <t>Margaret Hawkins DDS</t>
  </si>
  <si>
    <t>STF-99227609</t>
  </si>
  <si>
    <t>Patty Perez</t>
  </si>
  <si>
    <t>STF-fd4df1f4</t>
  </si>
  <si>
    <t>Ethan Adams</t>
  </si>
  <si>
    <t>STF-317a74b9</t>
  </si>
  <si>
    <t>Tommy Walter</t>
  </si>
  <si>
    <t>STF-1ad309f8</t>
  </si>
  <si>
    <t>Matthew Foster</t>
  </si>
  <si>
    <t>nursing_assistant</t>
  </si>
  <si>
    <t>STF-4ed3b149</t>
  </si>
  <si>
    <t>Judy Baker</t>
  </si>
  <si>
    <t>STF-a8e146c6</t>
  </si>
  <si>
    <t>Justin Baker</t>
  </si>
  <si>
    <t>STF-b9e859d8</t>
  </si>
  <si>
    <t>Stephanie Ross</t>
  </si>
  <si>
    <t>STF-bc4c419e</t>
  </si>
  <si>
    <t>Zachary Hicks</t>
  </si>
  <si>
    <t>STF-15c07995</t>
  </si>
  <si>
    <t>Anthony Rodriguez</t>
  </si>
  <si>
    <t>surgery</t>
  </si>
  <si>
    <t>STF-0aaed714</t>
  </si>
  <si>
    <t>Rebecca Henderson</t>
  </si>
  <si>
    <t>STF-30d44186</t>
  </si>
  <si>
    <t>James Ferrell</t>
  </si>
  <si>
    <t>STF-46e008d1</t>
  </si>
  <si>
    <t>Tricia Valencia</t>
  </si>
  <si>
    <t>STF-f2a7bd6f</t>
  </si>
  <si>
    <t>Nathan Maldonado</t>
  </si>
  <si>
    <t>STF-d7c28217</t>
  </si>
  <si>
    <t>Debra Davidson</t>
  </si>
  <si>
    <t>STF-2bfe24c1</t>
  </si>
  <si>
    <t>Jeffrey Chavez</t>
  </si>
  <si>
    <t>STF-3abc4202</t>
  </si>
  <si>
    <t>Sherri Baker</t>
  </si>
  <si>
    <t>STF-bc33b33b</t>
  </si>
  <si>
    <t>Cassandra Gaines</t>
  </si>
  <si>
    <t>STF-2c155ebf</t>
  </si>
  <si>
    <t>Elizabeth Fowler</t>
  </si>
  <si>
    <t>STF-3007d318</t>
  </si>
  <si>
    <t>Brittany Farmer</t>
  </si>
  <si>
    <t>STF-13f243f8</t>
  </si>
  <si>
    <t>Paula Moreno</t>
  </si>
  <si>
    <t>STF-7a5180f0</t>
  </si>
  <si>
    <t>Fred Smith</t>
  </si>
  <si>
    <t>STF-15269c02</t>
  </si>
  <si>
    <t>Sherry Decker</t>
  </si>
  <si>
    <t>STF-36b3e876</t>
  </si>
  <si>
    <t>Anthony Humphrey</t>
  </si>
  <si>
    <t>STF-177e5df8</t>
  </si>
  <si>
    <t>Angelica Tucker</t>
  </si>
  <si>
    <t>STF-3d6f6916</t>
  </si>
  <si>
    <t>Philip Cannon</t>
  </si>
  <si>
    <t>STF-00fbd582</t>
  </si>
  <si>
    <t>John Pierce</t>
  </si>
  <si>
    <t>STF-42844552</t>
  </si>
  <si>
    <t>Shane Henderson</t>
  </si>
  <si>
    <t>STF-1ded4330</t>
  </si>
  <si>
    <t>Joshua Blair</t>
  </si>
  <si>
    <t>STF-5d51a8ea</t>
  </si>
  <si>
    <t>Eric Carney</t>
  </si>
  <si>
    <t>STF-b19d1900</t>
  </si>
  <si>
    <t>Jessica Holmes</t>
  </si>
  <si>
    <t>STF-b4b308d8</t>
  </si>
  <si>
    <t>Danny Morgan</t>
  </si>
  <si>
    <t>general_medicine</t>
  </si>
  <si>
    <t>STF-df08bf0e</t>
  </si>
  <si>
    <t>Crystal Robinson</t>
  </si>
  <si>
    <t>STF-51ad7d05</t>
  </si>
  <si>
    <t>Mark Perez</t>
  </si>
  <si>
    <t>STF-2e7bf9ac</t>
  </si>
  <si>
    <t>Shannon Jones</t>
  </si>
  <si>
    <t>STF-866434e1</t>
  </si>
  <si>
    <t>Michael Lewis</t>
  </si>
  <si>
    <t>STF-b8c738af</t>
  </si>
  <si>
    <t>Timothy Duncan</t>
  </si>
  <si>
    <t>STF-d6a78473</t>
  </si>
  <si>
    <t>Richard Aguirre</t>
  </si>
  <si>
    <t>STF-bcb3f4fe</t>
  </si>
  <si>
    <t>Brent Jordan</t>
  </si>
  <si>
    <t>STF-f7ad988b</t>
  </si>
  <si>
    <t>John Daniel</t>
  </si>
  <si>
    <t>STF-624c0289</t>
  </si>
  <si>
    <t>Victoria Garcia</t>
  </si>
  <si>
    <t>STF-2aeab02a</t>
  </si>
  <si>
    <t>Gerald Hensley</t>
  </si>
  <si>
    <t>STF-80c670c1</t>
  </si>
  <si>
    <t>Connor West</t>
  </si>
  <si>
    <t>STF-a81bb023</t>
  </si>
  <si>
    <t>Donald Wright</t>
  </si>
  <si>
    <t>STF-d569a861</t>
  </si>
  <si>
    <t>Jessica Callahan</t>
  </si>
  <si>
    <t>STF-48fc5275</t>
  </si>
  <si>
    <t>Amber Kidd</t>
  </si>
  <si>
    <t>STF-3ea6bb2e</t>
  </si>
  <si>
    <t>Tracy House</t>
  </si>
  <si>
    <t>STF-9dd2c561</t>
  </si>
  <si>
    <t>Carol Tucker</t>
  </si>
  <si>
    <t>STF-3014d5f2</t>
  </si>
  <si>
    <t>James Brown</t>
  </si>
  <si>
    <t>STF-98cc6508</t>
  </si>
  <si>
    <t>William Baker</t>
  </si>
  <si>
    <t>STF-67f5247b</t>
  </si>
  <si>
    <t>Jordan Henderson</t>
  </si>
  <si>
    <t>STF-613d0d64</t>
  </si>
  <si>
    <t>Whitney Peters</t>
  </si>
  <si>
    <t>STF-a74d38db</t>
  </si>
  <si>
    <t>Brittney Phillips</t>
  </si>
  <si>
    <t>STF-b3eabf08</t>
  </si>
  <si>
    <t>Lauren Daniels</t>
  </si>
  <si>
    <t>STF-b5fcdde5</t>
  </si>
  <si>
    <t>Amy Silva</t>
  </si>
  <si>
    <t>STF-9b1ae05a</t>
  </si>
  <si>
    <t>Sarah Moore</t>
  </si>
  <si>
    <t>STF-9a4c0716</t>
  </si>
  <si>
    <t>Angela Lopez</t>
  </si>
  <si>
    <t>STF-3b8145ed</t>
  </si>
  <si>
    <t>Megan Young</t>
  </si>
  <si>
    <t>STF-00b6381d</t>
  </si>
  <si>
    <t>Steve Sanchez</t>
  </si>
  <si>
    <t>ICU</t>
  </si>
  <si>
    <t>STF-cb0c3c50</t>
  </si>
  <si>
    <t>Lisa Barnes</t>
  </si>
  <si>
    <t>STF-dd7b8861</t>
  </si>
  <si>
    <t>Kelly Donovan</t>
  </si>
  <si>
    <t>STF-0b0dfb38</t>
  </si>
  <si>
    <t>Mike Allen</t>
  </si>
  <si>
    <t>STF-a1659ed6</t>
  </si>
  <si>
    <t>Michael Evans</t>
  </si>
  <si>
    <t>STF-ab59db32</t>
  </si>
  <si>
    <t>Paul Jones</t>
  </si>
  <si>
    <t>STF-3bbc468d</t>
  </si>
  <si>
    <t>Zachary Ferrell</t>
  </si>
  <si>
    <t>STF-6c412e28</t>
  </si>
  <si>
    <t>Daniel Baker</t>
  </si>
  <si>
    <t>STF-d7371c06</t>
  </si>
  <si>
    <t>Shirley Suarez</t>
  </si>
  <si>
    <t>STF-d77b1013</t>
  </si>
  <si>
    <t>Christopher Bass</t>
  </si>
  <si>
    <t>STF-a94474ff</t>
  </si>
  <si>
    <t>Lisa Archer</t>
  </si>
  <si>
    <t>STF-3c9039fc</t>
  </si>
  <si>
    <t>Aimee Montoya</t>
  </si>
  <si>
    <t>STF-cacb7290</t>
  </si>
  <si>
    <t>Matthew Mcmillan</t>
  </si>
  <si>
    <t>STF-446cb017</t>
  </si>
  <si>
    <t>Brian Rodriguez</t>
  </si>
  <si>
    <t>STF-0196d344</t>
  </si>
  <si>
    <t>Denise Jacobs</t>
  </si>
  <si>
    <t>STF-1b299895</t>
  </si>
  <si>
    <t>Christina Walters</t>
  </si>
  <si>
    <t>STF-22fe9443</t>
  </si>
  <si>
    <t>John Whitehead</t>
  </si>
  <si>
    <t>STF-e328da72</t>
  </si>
  <si>
    <t>Anna Henderson</t>
  </si>
  <si>
    <t>STF-1881ede3</t>
  </si>
  <si>
    <t>Aaron Wise</t>
  </si>
  <si>
    <t>STF-1bdb5ff4</t>
  </si>
  <si>
    <t>Deborah Figueroa</t>
  </si>
  <si>
    <t>STF-5fadf416</t>
  </si>
  <si>
    <t>Jessica Smith</t>
  </si>
  <si>
    <t>STF-4993c812</t>
  </si>
  <si>
    <t>Stephen Mckee</t>
  </si>
  <si>
    <t>STF-598bd5c2</t>
  </si>
  <si>
    <t>Sandra Aguilar</t>
  </si>
  <si>
    <t>STF-fdc1ae8e</t>
  </si>
  <si>
    <t>Cameron Parker</t>
  </si>
  <si>
    <t>STF-c479af96</t>
  </si>
  <si>
    <t>Rebecca Valencia</t>
  </si>
  <si>
    <t>STF-79236218</t>
  </si>
  <si>
    <t>Christine Wright</t>
  </si>
  <si>
    <t>STF-55d90e65</t>
  </si>
  <si>
    <t>Richard Henson</t>
  </si>
  <si>
    <t>STF-2c8a995d</t>
  </si>
  <si>
    <t>Marc Moore</t>
  </si>
  <si>
    <t>STF-251c7770</t>
  </si>
  <si>
    <t>Sharon Cherry</t>
  </si>
  <si>
    <t>STF-3fb56209</t>
  </si>
  <si>
    <t>Sierra Johnson</t>
  </si>
  <si>
    <t>STF-a8c30e00</t>
  </si>
  <si>
    <t>Evelyn Galvan</t>
  </si>
  <si>
    <t>STF-021fdf9f</t>
  </si>
  <si>
    <t>Sharon Cochran</t>
  </si>
  <si>
    <t>Etiquetas de fila</t>
  </si>
  <si>
    <t>Total general</t>
  </si>
  <si>
    <t>Cuenta de staff_id</t>
  </si>
  <si>
    <t>Ingrese ID del Paciente:</t>
  </si>
  <si>
    <t>Nombre:</t>
  </si>
  <si>
    <t>Servicio:</t>
  </si>
  <si>
    <t>Rol:</t>
  </si>
  <si>
    <t>Reporte de Personal Hospitalario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</si>
</sst>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Font="1" applyBorder="1"/>
    <xf numFmtId="0" fontId="1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[Staff_Report.xlsx]Reporte!TablaDinámica1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Reporte!$B$1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35-4067-9B4C-6C7195F11B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35-4067-9B4C-6C7195F11B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35-4067-9B4C-6C7195F11B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Reporte!$A$2:$A$5</c:f>
              <c:strCache>
                <c:ptCount val="3"/>
                <c:pt idx="0">
                  <c:v>doctor</c:v>
                </c:pt>
                <c:pt idx="1">
                  <c:v>nurse</c:v>
                </c:pt>
                <c:pt idx="2">
                  <c:v>nursing_assistant</c:v>
                </c:pt>
              </c:strCache>
            </c:strRef>
          </c:cat>
          <c:val>
            <c:numRef>
              <c:f>Reporte!$B$2:$B$5</c:f>
              <c:numCache>
                <c:formatCode>General</c:formatCode>
                <c:ptCount val="3"/>
                <c:pt idx="0">
                  <c:v>18</c:v>
                </c:pt>
                <c:pt idx="1">
                  <c:v>69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2-4F1F-90E6-D4F8AB8709B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Buscador_Pacientes!A1"/><Relationship Id="rId2" Type="http://schemas.openxmlformats.org/officeDocument/2006/relationships/hyperlink" Target="#Reporte!A1"/><Relationship Id="rId1" Type="http://schemas.openxmlformats.org/officeDocument/2006/relationships/hyperlink" Target="#Dato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</xdr:row>
      <xdr:rowOff>0</xdr:rowOff>
    </xdr:from>
    <xdr:to>
      <xdr:col>2</xdr:col>
      <xdr:colOff>361950</xdr:colOff>
      <xdr:row>6</xdr:row>
      <xdr:rowOff>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18508B-099E-05D2-0FA7-E54BA5640EEE}"/>
            </a:ext>
          </a:extLst>
        </xdr:cNvPr>
        <xdr:cNvSpPr/>
      </xdr:nvSpPr>
      <xdr:spPr>
        <a:xfrm>
          <a:off x="447675" y="1047750"/>
          <a:ext cx="1438275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b="1"/>
            <a:t>Ver Base de Datos</a:t>
          </a:r>
          <a:endParaRPr lang="es-AR" sz="1100" b="1">
            <a:latin typeface="Amasis MT Pro Black" panose="020F0502020204030204" pitchFamily="18" charset="0"/>
          </a:endParaRPr>
        </a:p>
      </xdr:txBody>
    </xdr:sp>
    <xdr:clientData/>
  </xdr:twoCellAnchor>
  <xdr:twoCellAnchor>
    <xdr:from>
      <xdr:col>3</xdr:col>
      <xdr:colOff>390525</xdr:colOff>
      <xdr:row>3</xdr:row>
      <xdr:rowOff>0</xdr:rowOff>
    </xdr:from>
    <xdr:to>
      <xdr:col>5</xdr:col>
      <xdr:colOff>304800</xdr:colOff>
      <xdr:row>6</xdr:row>
      <xdr:rowOff>0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089C53-885D-4523-9FC1-E86D4A67F387}"/>
            </a:ext>
          </a:extLst>
        </xdr:cNvPr>
        <xdr:cNvSpPr/>
      </xdr:nvSpPr>
      <xdr:spPr>
        <a:xfrm>
          <a:off x="2676525" y="1047750"/>
          <a:ext cx="1438275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b="1"/>
            <a:t>Ver Reporte</a:t>
          </a:r>
          <a:endParaRPr lang="es-AR" sz="1100" b="1"/>
        </a:p>
      </xdr:txBody>
    </xdr:sp>
    <xdr:clientData/>
  </xdr:twoCellAnchor>
  <xdr:twoCellAnchor>
    <xdr:from>
      <xdr:col>6</xdr:col>
      <xdr:colOff>342900</xdr:colOff>
      <xdr:row>2</xdr:row>
      <xdr:rowOff>180975</xdr:rowOff>
    </xdr:from>
    <xdr:to>
      <xdr:col>8</xdr:col>
      <xdr:colOff>304800</xdr:colOff>
      <xdr:row>5</xdr:row>
      <xdr:rowOff>180975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82780D-8CDA-4E49-8174-96916A344A29}"/>
            </a:ext>
          </a:extLst>
        </xdr:cNvPr>
        <xdr:cNvSpPr/>
      </xdr:nvSpPr>
      <xdr:spPr>
        <a:xfrm>
          <a:off x="4914900" y="1038225"/>
          <a:ext cx="144780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b="1"/>
            <a:t>Ir al Buscador</a:t>
          </a:r>
          <a:endParaRPr lang="es-A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9525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A3B627-FA5B-3B1B-2BD8-728C7BA47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Centofanti" refreshedDate="45988.605563657409" createdVersion="8" refreshedVersion="8" minRefreshableVersion="3" recordCount="110" xr:uid="{ABC12028-EF1C-4E24-840B-E6CF7D766745}">
  <cacheSource type="worksheet">
    <worksheetSource name="staff"/>
  </cacheSource>
  <cacheFields count="4">
    <cacheField name="staff_id" numFmtId="0">
      <sharedItems count="110">
        <s v="STF-5ca26577"/>
        <s v="STF-02ae59ca"/>
        <s v="STF-d8006e7c"/>
        <s v="STF-212d8b31"/>
        <s v="STF-107a58e4"/>
        <s v="STF-ca932dea"/>
        <s v="STF-39082289"/>
        <s v="STF-702887af"/>
        <s v="STF-249f63bb"/>
        <s v="STF-094f410b"/>
        <s v="STF-d7ab0c23"/>
        <s v="STF-e51bdcb4"/>
        <s v="STF-8cabb71f"/>
        <s v="STF-34c0563d"/>
        <s v="STF-130577e6"/>
        <s v="STF-768c9d6f"/>
        <s v="STF-abec8336"/>
        <s v="STF-6f6535f8"/>
        <s v="STF-b4fb711c"/>
        <s v="STF-434f45a6"/>
        <s v="STF-db5926dd"/>
        <s v="STF-99227609"/>
        <s v="STF-fd4df1f4"/>
        <s v="STF-317a74b9"/>
        <s v="STF-1ad309f8"/>
        <s v="STF-4ed3b149"/>
        <s v="STF-a8e146c6"/>
        <s v="STF-b9e859d8"/>
        <s v="STF-bc4c419e"/>
        <s v="STF-15c07995"/>
        <s v="STF-0aaed714"/>
        <s v="STF-30d44186"/>
        <s v="STF-46e008d1"/>
        <s v="STF-f2a7bd6f"/>
        <s v="STF-d7c28217"/>
        <s v="STF-2bfe24c1"/>
        <s v="STF-3abc4202"/>
        <s v="STF-bc33b33b"/>
        <s v="STF-2c155ebf"/>
        <s v="STF-3007d318"/>
        <s v="STF-13f243f8"/>
        <s v="STF-7a5180f0"/>
        <s v="STF-15269c02"/>
        <s v="STF-36b3e876"/>
        <s v="STF-177e5df8"/>
        <s v="STF-3d6f6916"/>
        <s v="STF-00fbd582"/>
        <s v="STF-42844552"/>
        <s v="STF-1ded4330"/>
        <s v="STF-5d51a8ea"/>
        <s v="STF-b19d1900"/>
        <s v="STF-b4b308d8"/>
        <s v="STF-df08bf0e"/>
        <s v="STF-51ad7d05"/>
        <s v="STF-2e7bf9ac"/>
        <s v="STF-866434e1"/>
        <s v="STF-b8c738af"/>
        <s v="STF-d6a78473"/>
        <s v="STF-bcb3f4fe"/>
        <s v="STF-f7ad988b"/>
        <s v="STF-624c0289"/>
        <s v="STF-2aeab02a"/>
        <s v="STF-80c670c1"/>
        <s v="STF-a81bb023"/>
        <s v="STF-d569a861"/>
        <s v="STF-48fc5275"/>
        <s v="STF-3ea6bb2e"/>
        <s v="STF-9dd2c561"/>
        <s v="STF-3014d5f2"/>
        <s v="STF-98cc6508"/>
        <s v="STF-67f5247b"/>
        <s v="STF-613d0d64"/>
        <s v="STF-a74d38db"/>
        <s v="STF-b3eabf08"/>
        <s v="STF-b5fcdde5"/>
        <s v="STF-9b1ae05a"/>
        <s v="STF-9a4c0716"/>
        <s v="STF-3b8145ed"/>
        <s v="STF-00b6381d"/>
        <s v="STF-cb0c3c50"/>
        <s v="STF-dd7b8861"/>
        <s v="STF-0b0dfb38"/>
        <s v="STF-a1659ed6"/>
        <s v="STF-ab59db32"/>
        <s v="STF-3bbc468d"/>
        <s v="STF-6c412e28"/>
        <s v="STF-d7371c06"/>
        <s v="STF-d77b1013"/>
        <s v="STF-a94474ff"/>
        <s v="STF-3c9039fc"/>
        <s v="STF-cacb7290"/>
        <s v="STF-446cb017"/>
        <s v="STF-0196d344"/>
        <s v="STF-1b299895"/>
        <s v="STF-22fe9443"/>
        <s v="STF-e328da72"/>
        <s v="STF-1881ede3"/>
        <s v="STF-1bdb5ff4"/>
        <s v="STF-5fadf416"/>
        <s v="STF-4993c812"/>
        <s v="STF-598bd5c2"/>
        <s v="STF-fdc1ae8e"/>
        <s v="STF-c479af96"/>
        <s v="STF-79236218"/>
        <s v="STF-55d90e65"/>
        <s v="STF-2c8a995d"/>
        <s v="STF-251c7770"/>
        <s v="STF-3fb56209"/>
        <s v="STF-a8c30e00"/>
        <s v="STF-021fdf9f"/>
      </sharedItems>
    </cacheField>
    <cacheField name="staff_name" numFmtId="0">
      <sharedItems/>
    </cacheField>
    <cacheField name="role" numFmtId="0">
      <sharedItems count="3">
        <s v="doctor"/>
        <s v="nurse"/>
        <s v="nursing_assistant"/>
      </sharedItems>
    </cacheField>
    <cacheField name="servi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Allison Hill"/>
    <x v="0"/>
    <s v="emergency"/>
  </r>
  <r>
    <x v="1"/>
    <s v="Noah Rhodes"/>
    <x v="0"/>
    <s v="emergency"/>
  </r>
  <r>
    <x v="2"/>
    <s v="Angie Henderson"/>
    <x v="0"/>
    <s v="emergency"/>
  </r>
  <r>
    <x v="3"/>
    <s v="Daniel Wagner"/>
    <x v="0"/>
    <s v="emergency"/>
  </r>
  <r>
    <x v="4"/>
    <s v="Cristian Santos"/>
    <x v="0"/>
    <s v="emergency"/>
  </r>
  <r>
    <x v="5"/>
    <s v="Connie Lawrence"/>
    <x v="1"/>
    <s v="emergency"/>
  </r>
  <r>
    <x v="6"/>
    <s v="Abigail Shaffer"/>
    <x v="1"/>
    <s v="emergency"/>
  </r>
  <r>
    <x v="7"/>
    <s v="Gina Moore"/>
    <x v="1"/>
    <s v="emergency"/>
  </r>
  <r>
    <x v="8"/>
    <s v="Gabrielle Davis"/>
    <x v="1"/>
    <s v="emergency"/>
  </r>
  <r>
    <x v="9"/>
    <s v="Ryan Munoz"/>
    <x v="1"/>
    <s v="emergency"/>
  </r>
  <r>
    <x v="10"/>
    <s v="Monica Herrera"/>
    <x v="1"/>
    <s v="emergency"/>
  </r>
  <r>
    <x v="11"/>
    <s v="Jamie Arnold"/>
    <x v="1"/>
    <s v="emergency"/>
  </r>
  <r>
    <x v="12"/>
    <s v="Lisa Hensley"/>
    <x v="1"/>
    <s v="emergency"/>
  </r>
  <r>
    <x v="13"/>
    <s v="Michele Williams"/>
    <x v="1"/>
    <s v="emergency"/>
  </r>
  <r>
    <x v="14"/>
    <s v="Dylan Miller"/>
    <x v="1"/>
    <s v="emergency"/>
  </r>
  <r>
    <x v="15"/>
    <s v="Brian Ramirez"/>
    <x v="1"/>
    <s v="emergency"/>
  </r>
  <r>
    <x v="16"/>
    <s v="Holly Wood"/>
    <x v="1"/>
    <s v="emergency"/>
  </r>
  <r>
    <x v="17"/>
    <s v="Derek Zuniga"/>
    <x v="1"/>
    <s v="emergency"/>
  </r>
  <r>
    <x v="18"/>
    <s v="Lisa Jackson"/>
    <x v="1"/>
    <s v="emergency"/>
  </r>
  <r>
    <x v="19"/>
    <s v="Carla Gray"/>
    <x v="1"/>
    <s v="emergency"/>
  </r>
  <r>
    <x v="20"/>
    <s v="Margaret Hawkins DDS"/>
    <x v="1"/>
    <s v="emergency"/>
  </r>
  <r>
    <x v="21"/>
    <s v="Patty Perez"/>
    <x v="1"/>
    <s v="emergency"/>
  </r>
  <r>
    <x v="22"/>
    <s v="Ethan Adams"/>
    <x v="1"/>
    <s v="emergency"/>
  </r>
  <r>
    <x v="23"/>
    <s v="Tommy Walter"/>
    <x v="1"/>
    <s v="emergency"/>
  </r>
  <r>
    <x v="24"/>
    <s v="Matthew Foster"/>
    <x v="2"/>
    <s v="emergency"/>
  </r>
  <r>
    <x v="25"/>
    <s v="Judy Baker"/>
    <x v="2"/>
    <s v="emergency"/>
  </r>
  <r>
    <x v="26"/>
    <s v="Justin Baker"/>
    <x v="2"/>
    <s v="emergency"/>
  </r>
  <r>
    <x v="27"/>
    <s v="Stephanie Ross"/>
    <x v="2"/>
    <s v="emergency"/>
  </r>
  <r>
    <x v="28"/>
    <s v="Zachary Hicks"/>
    <x v="2"/>
    <s v="emergency"/>
  </r>
  <r>
    <x v="29"/>
    <s v="Anthony Rodriguez"/>
    <x v="0"/>
    <s v="surgery"/>
  </r>
  <r>
    <x v="30"/>
    <s v="Rebecca Henderson"/>
    <x v="0"/>
    <s v="surgery"/>
  </r>
  <r>
    <x v="31"/>
    <s v="James Ferrell"/>
    <x v="0"/>
    <s v="surgery"/>
  </r>
  <r>
    <x v="32"/>
    <s v="Tricia Valencia"/>
    <x v="0"/>
    <s v="surgery"/>
  </r>
  <r>
    <x v="33"/>
    <s v="Nathan Maldonado"/>
    <x v="1"/>
    <s v="surgery"/>
  </r>
  <r>
    <x v="34"/>
    <s v="Debra Davidson"/>
    <x v="1"/>
    <s v="surgery"/>
  </r>
  <r>
    <x v="35"/>
    <s v="Jeffrey Chavez"/>
    <x v="1"/>
    <s v="surgery"/>
  </r>
  <r>
    <x v="36"/>
    <s v="Sherri Baker"/>
    <x v="1"/>
    <s v="surgery"/>
  </r>
  <r>
    <x v="37"/>
    <s v="Cassandra Gaines"/>
    <x v="1"/>
    <s v="surgery"/>
  </r>
  <r>
    <x v="38"/>
    <s v="Elizabeth Fowler"/>
    <x v="1"/>
    <s v="surgery"/>
  </r>
  <r>
    <x v="39"/>
    <s v="Brittany Farmer"/>
    <x v="1"/>
    <s v="surgery"/>
  </r>
  <r>
    <x v="40"/>
    <s v="Paula Moreno"/>
    <x v="1"/>
    <s v="surgery"/>
  </r>
  <r>
    <x v="41"/>
    <s v="Fred Smith"/>
    <x v="1"/>
    <s v="surgery"/>
  </r>
  <r>
    <x v="42"/>
    <s v="Sherry Decker"/>
    <x v="1"/>
    <s v="surgery"/>
  </r>
  <r>
    <x v="43"/>
    <s v="Anthony Humphrey"/>
    <x v="1"/>
    <s v="surgery"/>
  </r>
  <r>
    <x v="44"/>
    <s v="Angelica Tucker"/>
    <x v="1"/>
    <s v="surgery"/>
  </r>
  <r>
    <x v="45"/>
    <s v="Philip Cannon"/>
    <x v="1"/>
    <s v="surgery"/>
  </r>
  <r>
    <x v="46"/>
    <s v="John Pierce"/>
    <x v="2"/>
    <s v="surgery"/>
  </r>
  <r>
    <x v="47"/>
    <s v="Shane Henderson"/>
    <x v="2"/>
    <s v="surgery"/>
  </r>
  <r>
    <x v="48"/>
    <s v="Joshua Blair"/>
    <x v="2"/>
    <s v="surgery"/>
  </r>
  <r>
    <x v="49"/>
    <s v="Eric Carney"/>
    <x v="2"/>
    <s v="surgery"/>
  </r>
  <r>
    <x v="50"/>
    <s v="Jessica Holmes"/>
    <x v="2"/>
    <s v="surgery"/>
  </r>
  <r>
    <x v="51"/>
    <s v="Danny Morgan"/>
    <x v="0"/>
    <s v="general_medicine"/>
  </r>
  <r>
    <x v="52"/>
    <s v="Crystal Robinson"/>
    <x v="0"/>
    <s v="general_medicine"/>
  </r>
  <r>
    <x v="53"/>
    <s v="Mark Perez"/>
    <x v="0"/>
    <s v="general_medicine"/>
  </r>
  <r>
    <x v="54"/>
    <s v="Shannon Jones"/>
    <x v="1"/>
    <s v="general_medicine"/>
  </r>
  <r>
    <x v="55"/>
    <s v="Michael Lewis"/>
    <x v="1"/>
    <s v="general_medicine"/>
  </r>
  <r>
    <x v="56"/>
    <s v="Timothy Duncan"/>
    <x v="1"/>
    <s v="general_medicine"/>
  </r>
  <r>
    <x v="57"/>
    <s v="Richard Aguirre"/>
    <x v="1"/>
    <s v="general_medicine"/>
  </r>
  <r>
    <x v="58"/>
    <s v="Brent Jordan"/>
    <x v="1"/>
    <s v="general_medicine"/>
  </r>
  <r>
    <x v="59"/>
    <s v="John Daniel"/>
    <x v="1"/>
    <s v="general_medicine"/>
  </r>
  <r>
    <x v="60"/>
    <s v="Victoria Garcia"/>
    <x v="1"/>
    <s v="general_medicine"/>
  </r>
  <r>
    <x v="61"/>
    <s v="Gerald Hensley"/>
    <x v="1"/>
    <s v="general_medicine"/>
  </r>
  <r>
    <x v="62"/>
    <s v="Connor West"/>
    <x v="1"/>
    <s v="general_medicine"/>
  </r>
  <r>
    <x v="63"/>
    <s v="Donald Wright"/>
    <x v="1"/>
    <s v="general_medicine"/>
  </r>
  <r>
    <x v="64"/>
    <s v="Jessica Callahan"/>
    <x v="1"/>
    <s v="general_medicine"/>
  </r>
  <r>
    <x v="65"/>
    <s v="Amber Kidd"/>
    <x v="1"/>
    <s v="general_medicine"/>
  </r>
  <r>
    <x v="66"/>
    <s v="Tracy House"/>
    <x v="1"/>
    <s v="general_medicine"/>
  </r>
  <r>
    <x v="67"/>
    <s v="Carol Tucker"/>
    <x v="1"/>
    <s v="general_medicine"/>
  </r>
  <r>
    <x v="68"/>
    <s v="James Brown"/>
    <x v="1"/>
    <s v="general_medicine"/>
  </r>
  <r>
    <x v="69"/>
    <s v="William Baker"/>
    <x v="1"/>
    <s v="general_medicine"/>
  </r>
  <r>
    <x v="70"/>
    <s v="Jordan Henderson"/>
    <x v="1"/>
    <s v="general_medicine"/>
  </r>
  <r>
    <x v="71"/>
    <s v="Whitney Peters"/>
    <x v="1"/>
    <s v="general_medicine"/>
  </r>
  <r>
    <x v="72"/>
    <s v="Brittney Phillips"/>
    <x v="1"/>
    <s v="general_medicine"/>
  </r>
  <r>
    <x v="73"/>
    <s v="Lauren Daniels"/>
    <x v="2"/>
    <s v="general_medicine"/>
  </r>
  <r>
    <x v="74"/>
    <s v="Amy Silva"/>
    <x v="2"/>
    <s v="general_medicine"/>
  </r>
  <r>
    <x v="75"/>
    <s v="Sarah Moore"/>
    <x v="2"/>
    <s v="general_medicine"/>
  </r>
  <r>
    <x v="76"/>
    <s v="Angela Lopez"/>
    <x v="2"/>
    <s v="general_medicine"/>
  </r>
  <r>
    <x v="77"/>
    <s v="Megan Young"/>
    <x v="2"/>
    <s v="general_medicine"/>
  </r>
  <r>
    <x v="78"/>
    <s v="Steve Sanchez"/>
    <x v="0"/>
    <s v="ICU"/>
  </r>
  <r>
    <x v="79"/>
    <s v="Lisa Barnes"/>
    <x v="0"/>
    <s v="ICU"/>
  </r>
  <r>
    <x v="80"/>
    <s v="Kelly Donovan"/>
    <x v="0"/>
    <s v="ICU"/>
  </r>
  <r>
    <x v="81"/>
    <s v="Mike Allen"/>
    <x v="0"/>
    <s v="ICU"/>
  </r>
  <r>
    <x v="82"/>
    <s v="Michael Evans"/>
    <x v="0"/>
    <s v="ICU"/>
  </r>
  <r>
    <x v="83"/>
    <s v="Paul Jones"/>
    <x v="0"/>
    <s v="ICU"/>
  </r>
  <r>
    <x v="84"/>
    <s v="Zachary Ferrell"/>
    <x v="1"/>
    <s v="ICU"/>
  </r>
  <r>
    <x v="85"/>
    <s v="Daniel Baker"/>
    <x v="1"/>
    <s v="ICU"/>
  </r>
  <r>
    <x v="86"/>
    <s v="Shirley Suarez"/>
    <x v="1"/>
    <s v="ICU"/>
  </r>
  <r>
    <x v="87"/>
    <s v="Christopher Bass"/>
    <x v="1"/>
    <s v="ICU"/>
  </r>
  <r>
    <x v="88"/>
    <s v="Lisa Archer"/>
    <x v="1"/>
    <s v="ICU"/>
  </r>
  <r>
    <x v="89"/>
    <s v="Aimee Montoya"/>
    <x v="1"/>
    <s v="ICU"/>
  </r>
  <r>
    <x v="90"/>
    <s v="Matthew Mcmillan"/>
    <x v="1"/>
    <s v="ICU"/>
  </r>
  <r>
    <x v="91"/>
    <s v="Brian Rodriguez"/>
    <x v="1"/>
    <s v="ICU"/>
  </r>
  <r>
    <x v="92"/>
    <s v="Denise Jacobs"/>
    <x v="1"/>
    <s v="ICU"/>
  </r>
  <r>
    <x v="93"/>
    <s v="Christina Walters"/>
    <x v="1"/>
    <s v="ICU"/>
  </r>
  <r>
    <x v="94"/>
    <s v="John Whitehead"/>
    <x v="1"/>
    <s v="ICU"/>
  </r>
  <r>
    <x v="95"/>
    <s v="Anna Henderson"/>
    <x v="1"/>
    <s v="ICU"/>
  </r>
  <r>
    <x v="96"/>
    <s v="Aaron Wise"/>
    <x v="1"/>
    <s v="ICU"/>
  </r>
  <r>
    <x v="97"/>
    <s v="Deborah Figueroa"/>
    <x v="1"/>
    <s v="ICU"/>
  </r>
  <r>
    <x v="98"/>
    <s v="Jessica Smith"/>
    <x v="1"/>
    <s v="ICU"/>
  </r>
  <r>
    <x v="99"/>
    <s v="Stephen Mckee"/>
    <x v="1"/>
    <s v="ICU"/>
  </r>
  <r>
    <x v="100"/>
    <s v="Sandra Aguilar"/>
    <x v="1"/>
    <s v="ICU"/>
  </r>
  <r>
    <x v="101"/>
    <s v="Cameron Parker"/>
    <x v="1"/>
    <s v="ICU"/>
  </r>
  <r>
    <x v="102"/>
    <s v="Rebecca Valencia"/>
    <x v="2"/>
    <s v="ICU"/>
  </r>
  <r>
    <x v="103"/>
    <s v="Christine Wright"/>
    <x v="2"/>
    <s v="ICU"/>
  </r>
  <r>
    <x v="104"/>
    <s v="Richard Henson"/>
    <x v="2"/>
    <s v="ICU"/>
  </r>
  <r>
    <x v="105"/>
    <s v="Marc Moore"/>
    <x v="2"/>
    <s v="ICU"/>
  </r>
  <r>
    <x v="106"/>
    <s v="Sharon Cherry"/>
    <x v="2"/>
    <s v="ICU"/>
  </r>
  <r>
    <x v="107"/>
    <s v="Sierra Johnson"/>
    <x v="2"/>
    <s v="ICU"/>
  </r>
  <r>
    <x v="108"/>
    <s v="Evelyn Galvan"/>
    <x v="2"/>
    <s v="ICU"/>
  </r>
  <r>
    <x v="109"/>
    <s v="Sharon Cochran"/>
    <x v="2"/>
    <s v="IC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71FE0-498B-49C9-AA97-575F3811871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4">
    <pivotField dataField="1" showAll="0">
      <items count="111">
        <item x="78"/>
        <item x="46"/>
        <item x="92"/>
        <item x="109"/>
        <item x="1"/>
        <item x="9"/>
        <item x="30"/>
        <item x="81"/>
        <item x="4"/>
        <item x="14"/>
        <item x="40"/>
        <item x="42"/>
        <item x="29"/>
        <item x="44"/>
        <item x="96"/>
        <item x="24"/>
        <item x="93"/>
        <item x="97"/>
        <item x="48"/>
        <item x="3"/>
        <item x="94"/>
        <item x="8"/>
        <item x="106"/>
        <item x="61"/>
        <item x="35"/>
        <item x="38"/>
        <item x="105"/>
        <item x="54"/>
        <item x="39"/>
        <item x="68"/>
        <item x="31"/>
        <item x="23"/>
        <item x="13"/>
        <item x="43"/>
        <item x="6"/>
        <item x="36"/>
        <item x="77"/>
        <item x="84"/>
        <item x="89"/>
        <item x="45"/>
        <item x="66"/>
        <item x="107"/>
        <item x="47"/>
        <item x="19"/>
        <item x="91"/>
        <item x="32"/>
        <item x="65"/>
        <item x="99"/>
        <item x="25"/>
        <item x="53"/>
        <item x="104"/>
        <item x="100"/>
        <item x="0"/>
        <item x="49"/>
        <item x="98"/>
        <item x="71"/>
        <item x="60"/>
        <item x="70"/>
        <item x="85"/>
        <item x="17"/>
        <item x="7"/>
        <item x="15"/>
        <item x="103"/>
        <item x="41"/>
        <item x="62"/>
        <item x="55"/>
        <item x="12"/>
        <item x="69"/>
        <item x="21"/>
        <item x="76"/>
        <item x="75"/>
        <item x="67"/>
        <item x="82"/>
        <item x="72"/>
        <item x="63"/>
        <item x="108"/>
        <item x="26"/>
        <item x="88"/>
        <item x="83"/>
        <item x="16"/>
        <item x="50"/>
        <item x="73"/>
        <item x="51"/>
        <item x="18"/>
        <item x="74"/>
        <item x="56"/>
        <item x="27"/>
        <item x="37"/>
        <item x="28"/>
        <item x="58"/>
        <item x="102"/>
        <item x="5"/>
        <item x="90"/>
        <item x="79"/>
        <item x="64"/>
        <item x="57"/>
        <item x="86"/>
        <item x="87"/>
        <item x="10"/>
        <item x="34"/>
        <item x="2"/>
        <item x="20"/>
        <item x="80"/>
        <item x="52"/>
        <item x="95"/>
        <item x="11"/>
        <item x="33"/>
        <item x="59"/>
        <item x="22"/>
        <item x="10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taff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7F8976-3884-405D-834D-CF1ABCE34AE0}" name="Staff" displayName="Staff" ref="A1:D111" totalsRowShown="0">
  <autoFilter ref="A1:D111" xr:uid="{9C7F8976-3884-405D-834D-CF1ABCE34AE0}"/>
  <tableColumns count="4">
    <tableColumn id="1" xr3:uid="{7CF63E64-A89E-49A1-818D-E1FEE6E9D29B}" name="staff_id"/>
    <tableColumn id="2" xr3:uid="{5A58D500-2364-408C-B046-5EE7CC00F71F}" name="staff_name"/>
    <tableColumn id="3" xr3:uid="{717A49CD-47C3-418E-841A-35C5ECDD3DB7}" name="role"/>
    <tableColumn id="4" xr3:uid="{6A880698-D094-4EFB-8186-BE0602F1F2C9}" name="serv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E469-5A6C-461B-9C9F-0F302F3361C6}">
  <dimension ref="A1:I7"/>
  <sheetViews>
    <sheetView showGridLines="0" tabSelected="1" workbookViewId="0">
      <selection activeCell="F19" sqref="F19"/>
    </sheetView>
  </sheetViews>
  <sheetFormatPr baseColWidth="10" defaultRowHeight="15" x14ac:dyDescent="0.25"/>
  <cols>
    <col min="8" max="8" width="10.85546875" customWidth="1"/>
  </cols>
  <sheetData>
    <row r="1" spans="1:9" ht="52.5" customHeight="1" x14ac:dyDescent="0.25">
      <c r="A1" s="5" t="s">
        <v>238</v>
      </c>
      <c r="B1" s="5"/>
      <c r="C1" s="5"/>
      <c r="D1" s="5"/>
      <c r="E1" s="5"/>
      <c r="F1" s="5"/>
      <c r="G1" s="5"/>
      <c r="H1" s="5"/>
      <c r="I1" s="5"/>
    </row>
    <row r="2" spans="1:9" ht="15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x14ac:dyDescent="0.25">
      <c r="A3" s="6"/>
      <c r="B3" s="6"/>
      <c r="C3" s="6"/>
      <c r="D3" s="6"/>
      <c r="E3" s="6"/>
      <c r="F3" s="6"/>
      <c r="G3" s="6"/>
      <c r="H3" s="6"/>
      <c r="I3" s="6"/>
    </row>
    <row r="4" spans="1:9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x14ac:dyDescent="0.25">
      <c r="A5" s="6"/>
      <c r="B5" s="6"/>
      <c r="C5" s="6"/>
      <c r="D5" s="6"/>
      <c r="E5" s="6"/>
      <c r="F5" s="6"/>
      <c r="G5" s="6"/>
      <c r="H5" s="6"/>
      <c r="I5" s="6"/>
    </row>
    <row r="6" spans="1:9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x14ac:dyDescent="0.25">
      <c r="A7" s="6"/>
      <c r="B7" s="6"/>
      <c r="C7" s="6"/>
      <c r="D7" s="6"/>
      <c r="E7" s="6"/>
      <c r="F7" s="6"/>
      <c r="G7" s="6"/>
      <c r="H7" s="6"/>
      <c r="I7" s="6"/>
    </row>
  </sheetData>
  <mergeCells count="1">
    <mergeCell ref="A1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showGridLines="0" workbookViewId="0"/>
  </sheetViews>
  <sheetFormatPr baseColWidth="10" defaultColWidth="9.140625" defaultRowHeight="15" x14ac:dyDescent="0.25"/>
  <cols>
    <col min="1" max="1" width="15.140625" customWidth="1"/>
    <col min="2" max="2" width="22.140625" customWidth="1"/>
    <col min="3" max="3" width="17.425781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18</v>
      </c>
      <c r="D7" t="s">
        <v>7</v>
      </c>
    </row>
    <row r="8" spans="1:4" x14ac:dyDescent="0.25">
      <c r="A8" t="s">
        <v>19</v>
      </c>
      <c r="B8" t="s">
        <v>20</v>
      </c>
      <c r="C8" t="s">
        <v>18</v>
      </c>
      <c r="D8" t="s">
        <v>7</v>
      </c>
    </row>
    <row r="9" spans="1:4" x14ac:dyDescent="0.25">
      <c r="A9" t="s">
        <v>21</v>
      </c>
      <c r="B9" t="s">
        <v>22</v>
      </c>
      <c r="C9" t="s">
        <v>18</v>
      </c>
      <c r="D9" t="s">
        <v>7</v>
      </c>
    </row>
    <row r="10" spans="1:4" x14ac:dyDescent="0.25">
      <c r="A10" t="s">
        <v>23</v>
      </c>
      <c r="B10" t="s">
        <v>24</v>
      </c>
      <c r="C10" t="s">
        <v>18</v>
      </c>
      <c r="D10" t="s">
        <v>7</v>
      </c>
    </row>
    <row r="11" spans="1:4" x14ac:dyDescent="0.25">
      <c r="A11" t="s">
        <v>25</v>
      </c>
      <c r="B11" t="s">
        <v>26</v>
      </c>
      <c r="C11" t="s">
        <v>18</v>
      </c>
      <c r="D11" t="s">
        <v>7</v>
      </c>
    </row>
    <row r="12" spans="1:4" x14ac:dyDescent="0.25">
      <c r="A12" t="s">
        <v>27</v>
      </c>
      <c r="B12" t="s">
        <v>28</v>
      </c>
      <c r="C12" t="s">
        <v>18</v>
      </c>
      <c r="D12" t="s">
        <v>7</v>
      </c>
    </row>
    <row r="13" spans="1:4" x14ac:dyDescent="0.25">
      <c r="A13" t="s">
        <v>29</v>
      </c>
      <c r="B13" t="s">
        <v>30</v>
      </c>
      <c r="C13" t="s">
        <v>18</v>
      </c>
      <c r="D13" t="s">
        <v>7</v>
      </c>
    </row>
    <row r="14" spans="1:4" x14ac:dyDescent="0.25">
      <c r="A14" t="s">
        <v>31</v>
      </c>
      <c r="B14" t="s">
        <v>32</v>
      </c>
      <c r="C14" t="s">
        <v>18</v>
      </c>
      <c r="D14" t="s">
        <v>7</v>
      </c>
    </row>
    <row r="15" spans="1:4" x14ac:dyDescent="0.25">
      <c r="A15" t="s">
        <v>33</v>
      </c>
      <c r="B15" t="s">
        <v>34</v>
      </c>
      <c r="C15" t="s">
        <v>18</v>
      </c>
      <c r="D15" t="s">
        <v>7</v>
      </c>
    </row>
    <row r="16" spans="1:4" x14ac:dyDescent="0.25">
      <c r="A16" t="s">
        <v>35</v>
      </c>
      <c r="B16" t="s">
        <v>36</v>
      </c>
      <c r="C16" t="s">
        <v>18</v>
      </c>
      <c r="D16" t="s">
        <v>7</v>
      </c>
    </row>
    <row r="17" spans="1:4" x14ac:dyDescent="0.25">
      <c r="A17" t="s">
        <v>37</v>
      </c>
      <c r="B17" t="s">
        <v>38</v>
      </c>
      <c r="C17" t="s">
        <v>18</v>
      </c>
      <c r="D17" t="s">
        <v>7</v>
      </c>
    </row>
    <row r="18" spans="1:4" x14ac:dyDescent="0.25">
      <c r="A18" t="s">
        <v>39</v>
      </c>
      <c r="B18" t="s">
        <v>40</v>
      </c>
      <c r="C18" t="s">
        <v>18</v>
      </c>
      <c r="D18" t="s">
        <v>7</v>
      </c>
    </row>
    <row r="19" spans="1:4" x14ac:dyDescent="0.25">
      <c r="A19" t="s">
        <v>41</v>
      </c>
      <c r="B19" t="s">
        <v>42</v>
      </c>
      <c r="C19" t="s">
        <v>18</v>
      </c>
      <c r="D19" t="s">
        <v>7</v>
      </c>
    </row>
    <row r="20" spans="1:4" x14ac:dyDescent="0.25">
      <c r="A20" t="s">
        <v>43</v>
      </c>
      <c r="B20" t="s">
        <v>44</v>
      </c>
      <c r="C20" t="s">
        <v>18</v>
      </c>
      <c r="D20" t="s">
        <v>7</v>
      </c>
    </row>
    <row r="21" spans="1:4" x14ac:dyDescent="0.25">
      <c r="A21" t="s">
        <v>45</v>
      </c>
      <c r="B21" t="s">
        <v>46</v>
      </c>
      <c r="C21" t="s">
        <v>18</v>
      </c>
      <c r="D21" t="s">
        <v>7</v>
      </c>
    </row>
    <row r="22" spans="1:4" x14ac:dyDescent="0.25">
      <c r="A22" t="s">
        <v>47</v>
      </c>
      <c r="B22" t="s">
        <v>48</v>
      </c>
      <c r="C22" t="s">
        <v>18</v>
      </c>
      <c r="D22" t="s">
        <v>7</v>
      </c>
    </row>
    <row r="23" spans="1:4" x14ac:dyDescent="0.25">
      <c r="A23" t="s">
        <v>49</v>
      </c>
      <c r="B23" t="s">
        <v>50</v>
      </c>
      <c r="C23" t="s">
        <v>18</v>
      </c>
      <c r="D23" t="s">
        <v>7</v>
      </c>
    </row>
    <row r="24" spans="1:4" x14ac:dyDescent="0.25">
      <c r="A24" t="s">
        <v>51</v>
      </c>
      <c r="B24" t="s">
        <v>52</v>
      </c>
      <c r="C24" t="s">
        <v>18</v>
      </c>
      <c r="D24" t="s">
        <v>7</v>
      </c>
    </row>
    <row r="25" spans="1:4" x14ac:dyDescent="0.25">
      <c r="A25" t="s">
        <v>53</v>
      </c>
      <c r="B25" t="s">
        <v>54</v>
      </c>
      <c r="C25" t="s">
        <v>18</v>
      </c>
      <c r="D25" t="s">
        <v>7</v>
      </c>
    </row>
    <row r="26" spans="1:4" x14ac:dyDescent="0.25">
      <c r="A26" t="s">
        <v>55</v>
      </c>
      <c r="B26" t="s">
        <v>56</v>
      </c>
      <c r="C26" t="s">
        <v>57</v>
      </c>
      <c r="D26" t="s">
        <v>7</v>
      </c>
    </row>
    <row r="27" spans="1:4" x14ac:dyDescent="0.25">
      <c r="A27" t="s">
        <v>58</v>
      </c>
      <c r="B27" t="s">
        <v>59</v>
      </c>
      <c r="C27" t="s">
        <v>57</v>
      </c>
      <c r="D27" t="s">
        <v>7</v>
      </c>
    </row>
    <row r="28" spans="1:4" x14ac:dyDescent="0.25">
      <c r="A28" t="s">
        <v>60</v>
      </c>
      <c r="B28" t="s">
        <v>61</v>
      </c>
      <c r="C28" t="s">
        <v>57</v>
      </c>
      <c r="D28" t="s">
        <v>7</v>
      </c>
    </row>
    <row r="29" spans="1:4" x14ac:dyDescent="0.25">
      <c r="A29" t="s">
        <v>62</v>
      </c>
      <c r="B29" t="s">
        <v>63</v>
      </c>
      <c r="C29" t="s">
        <v>57</v>
      </c>
      <c r="D29" t="s">
        <v>7</v>
      </c>
    </row>
    <row r="30" spans="1:4" x14ac:dyDescent="0.25">
      <c r="A30" t="s">
        <v>64</v>
      </c>
      <c r="B30" t="s">
        <v>65</v>
      </c>
      <c r="C30" t="s">
        <v>57</v>
      </c>
      <c r="D30" t="s">
        <v>7</v>
      </c>
    </row>
    <row r="31" spans="1:4" x14ac:dyDescent="0.25">
      <c r="A31" t="s">
        <v>66</v>
      </c>
      <c r="B31" t="s">
        <v>67</v>
      </c>
      <c r="C31" t="s">
        <v>6</v>
      </c>
      <c r="D31" t="s">
        <v>68</v>
      </c>
    </row>
    <row r="32" spans="1:4" x14ac:dyDescent="0.25">
      <c r="A32" t="s">
        <v>69</v>
      </c>
      <c r="B32" t="s">
        <v>70</v>
      </c>
      <c r="C32" t="s">
        <v>6</v>
      </c>
      <c r="D32" t="s">
        <v>68</v>
      </c>
    </row>
    <row r="33" spans="1:4" x14ac:dyDescent="0.25">
      <c r="A33" t="s">
        <v>71</v>
      </c>
      <c r="B33" t="s">
        <v>72</v>
      </c>
      <c r="C33" t="s">
        <v>6</v>
      </c>
      <c r="D33" t="s">
        <v>68</v>
      </c>
    </row>
    <row r="34" spans="1:4" x14ac:dyDescent="0.25">
      <c r="A34" t="s">
        <v>73</v>
      </c>
      <c r="B34" t="s">
        <v>74</v>
      </c>
      <c r="C34" t="s">
        <v>6</v>
      </c>
      <c r="D34" t="s">
        <v>68</v>
      </c>
    </row>
    <row r="35" spans="1:4" x14ac:dyDescent="0.25">
      <c r="A35" t="s">
        <v>75</v>
      </c>
      <c r="B35" t="s">
        <v>76</v>
      </c>
      <c r="C35" t="s">
        <v>18</v>
      </c>
      <c r="D35" t="s">
        <v>68</v>
      </c>
    </row>
    <row r="36" spans="1:4" x14ac:dyDescent="0.25">
      <c r="A36" t="s">
        <v>77</v>
      </c>
      <c r="B36" t="s">
        <v>78</v>
      </c>
      <c r="C36" t="s">
        <v>18</v>
      </c>
      <c r="D36" t="s">
        <v>68</v>
      </c>
    </row>
    <row r="37" spans="1:4" x14ac:dyDescent="0.25">
      <c r="A37" t="s">
        <v>79</v>
      </c>
      <c r="B37" t="s">
        <v>80</v>
      </c>
      <c r="C37" t="s">
        <v>18</v>
      </c>
      <c r="D37" t="s">
        <v>68</v>
      </c>
    </row>
    <row r="38" spans="1:4" x14ac:dyDescent="0.25">
      <c r="A38" t="s">
        <v>81</v>
      </c>
      <c r="B38" t="s">
        <v>82</v>
      </c>
      <c r="C38" t="s">
        <v>18</v>
      </c>
      <c r="D38" t="s">
        <v>68</v>
      </c>
    </row>
    <row r="39" spans="1:4" x14ac:dyDescent="0.25">
      <c r="A39" t="s">
        <v>83</v>
      </c>
      <c r="B39" t="s">
        <v>84</v>
      </c>
      <c r="C39" t="s">
        <v>18</v>
      </c>
      <c r="D39" t="s">
        <v>68</v>
      </c>
    </row>
    <row r="40" spans="1:4" x14ac:dyDescent="0.25">
      <c r="A40" t="s">
        <v>85</v>
      </c>
      <c r="B40" t="s">
        <v>86</v>
      </c>
      <c r="C40" t="s">
        <v>18</v>
      </c>
      <c r="D40" t="s">
        <v>68</v>
      </c>
    </row>
    <row r="41" spans="1:4" x14ac:dyDescent="0.25">
      <c r="A41" t="s">
        <v>87</v>
      </c>
      <c r="B41" t="s">
        <v>88</v>
      </c>
      <c r="C41" t="s">
        <v>18</v>
      </c>
      <c r="D41" t="s">
        <v>68</v>
      </c>
    </row>
    <row r="42" spans="1:4" x14ac:dyDescent="0.25">
      <c r="A42" t="s">
        <v>89</v>
      </c>
      <c r="B42" t="s">
        <v>90</v>
      </c>
      <c r="C42" t="s">
        <v>18</v>
      </c>
      <c r="D42" t="s">
        <v>68</v>
      </c>
    </row>
    <row r="43" spans="1:4" x14ac:dyDescent="0.25">
      <c r="A43" t="s">
        <v>91</v>
      </c>
      <c r="B43" t="s">
        <v>92</v>
      </c>
      <c r="C43" t="s">
        <v>18</v>
      </c>
      <c r="D43" t="s">
        <v>68</v>
      </c>
    </row>
    <row r="44" spans="1:4" x14ac:dyDescent="0.25">
      <c r="A44" t="s">
        <v>93</v>
      </c>
      <c r="B44" t="s">
        <v>94</v>
      </c>
      <c r="C44" t="s">
        <v>18</v>
      </c>
      <c r="D44" t="s">
        <v>68</v>
      </c>
    </row>
    <row r="45" spans="1:4" x14ac:dyDescent="0.25">
      <c r="A45" t="s">
        <v>95</v>
      </c>
      <c r="B45" t="s">
        <v>96</v>
      </c>
      <c r="C45" t="s">
        <v>18</v>
      </c>
      <c r="D45" t="s">
        <v>68</v>
      </c>
    </row>
    <row r="46" spans="1:4" x14ac:dyDescent="0.25">
      <c r="A46" t="s">
        <v>97</v>
      </c>
      <c r="B46" t="s">
        <v>98</v>
      </c>
      <c r="C46" t="s">
        <v>18</v>
      </c>
      <c r="D46" t="s">
        <v>68</v>
      </c>
    </row>
    <row r="47" spans="1:4" x14ac:dyDescent="0.25">
      <c r="A47" t="s">
        <v>99</v>
      </c>
      <c r="B47" t="s">
        <v>100</v>
      </c>
      <c r="C47" t="s">
        <v>18</v>
      </c>
      <c r="D47" t="s">
        <v>68</v>
      </c>
    </row>
    <row r="48" spans="1:4" x14ac:dyDescent="0.25">
      <c r="A48" t="s">
        <v>101</v>
      </c>
      <c r="B48" t="s">
        <v>102</v>
      </c>
      <c r="C48" t="s">
        <v>57</v>
      </c>
      <c r="D48" t="s">
        <v>68</v>
      </c>
    </row>
    <row r="49" spans="1:4" x14ac:dyDescent="0.25">
      <c r="A49" t="s">
        <v>103</v>
      </c>
      <c r="B49" t="s">
        <v>104</v>
      </c>
      <c r="C49" t="s">
        <v>57</v>
      </c>
      <c r="D49" t="s">
        <v>68</v>
      </c>
    </row>
    <row r="50" spans="1:4" x14ac:dyDescent="0.25">
      <c r="A50" t="s">
        <v>105</v>
      </c>
      <c r="B50" t="s">
        <v>106</v>
      </c>
      <c r="C50" t="s">
        <v>57</v>
      </c>
      <c r="D50" t="s">
        <v>68</v>
      </c>
    </row>
    <row r="51" spans="1:4" x14ac:dyDescent="0.25">
      <c r="A51" t="s">
        <v>107</v>
      </c>
      <c r="B51" t="s">
        <v>108</v>
      </c>
      <c r="C51" t="s">
        <v>57</v>
      </c>
      <c r="D51" t="s">
        <v>68</v>
      </c>
    </row>
    <row r="52" spans="1:4" x14ac:dyDescent="0.25">
      <c r="A52" t="s">
        <v>109</v>
      </c>
      <c r="B52" t="s">
        <v>110</v>
      </c>
      <c r="C52" t="s">
        <v>57</v>
      </c>
      <c r="D52" t="s">
        <v>68</v>
      </c>
    </row>
    <row r="53" spans="1:4" x14ac:dyDescent="0.25">
      <c r="A53" t="s">
        <v>111</v>
      </c>
      <c r="B53" t="s">
        <v>112</v>
      </c>
      <c r="C53" t="s">
        <v>6</v>
      </c>
      <c r="D53" t="s">
        <v>113</v>
      </c>
    </row>
    <row r="54" spans="1:4" x14ac:dyDescent="0.25">
      <c r="A54" t="s">
        <v>114</v>
      </c>
      <c r="B54" t="s">
        <v>115</v>
      </c>
      <c r="C54" t="s">
        <v>6</v>
      </c>
      <c r="D54" t="s">
        <v>113</v>
      </c>
    </row>
    <row r="55" spans="1:4" x14ac:dyDescent="0.25">
      <c r="A55" t="s">
        <v>116</v>
      </c>
      <c r="B55" t="s">
        <v>117</v>
      </c>
      <c r="C55" t="s">
        <v>6</v>
      </c>
      <c r="D55" t="s">
        <v>113</v>
      </c>
    </row>
    <row r="56" spans="1:4" x14ac:dyDescent="0.25">
      <c r="A56" t="s">
        <v>118</v>
      </c>
      <c r="B56" t="s">
        <v>119</v>
      </c>
      <c r="C56" t="s">
        <v>18</v>
      </c>
      <c r="D56" t="s">
        <v>113</v>
      </c>
    </row>
    <row r="57" spans="1:4" x14ac:dyDescent="0.25">
      <c r="A57" t="s">
        <v>120</v>
      </c>
      <c r="B57" t="s">
        <v>121</v>
      </c>
      <c r="C57" t="s">
        <v>18</v>
      </c>
      <c r="D57" t="s">
        <v>113</v>
      </c>
    </row>
    <row r="58" spans="1:4" x14ac:dyDescent="0.25">
      <c r="A58" t="s">
        <v>122</v>
      </c>
      <c r="B58" t="s">
        <v>123</v>
      </c>
      <c r="C58" t="s">
        <v>18</v>
      </c>
      <c r="D58" t="s">
        <v>113</v>
      </c>
    </row>
    <row r="59" spans="1:4" x14ac:dyDescent="0.25">
      <c r="A59" t="s">
        <v>124</v>
      </c>
      <c r="B59" t="s">
        <v>125</v>
      </c>
      <c r="C59" t="s">
        <v>18</v>
      </c>
      <c r="D59" t="s">
        <v>113</v>
      </c>
    </row>
    <row r="60" spans="1:4" x14ac:dyDescent="0.25">
      <c r="A60" t="s">
        <v>126</v>
      </c>
      <c r="B60" t="s">
        <v>127</v>
      </c>
      <c r="C60" t="s">
        <v>18</v>
      </c>
      <c r="D60" t="s">
        <v>113</v>
      </c>
    </row>
    <row r="61" spans="1:4" x14ac:dyDescent="0.25">
      <c r="A61" t="s">
        <v>128</v>
      </c>
      <c r="B61" t="s">
        <v>129</v>
      </c>
      <c r="C61" t="s">
        <v>18</v>
      </c>
      <c r="D61" t="s">
        <v>113</v>
      </c>
    </row>
    <row r="62" spans="1:4" x14ac:dyDescent="0.25">
      <c r="A62" t="s">
        <v>130</v>
      </c>
      <c r="B62" t="s">
        <v>131</v>
      </c>
      <c r="C62" t="s">
        <v>18</v>
      </c>
      <c r="D62" t="s">
        <v>113</v>
      </c>
    </row>
    <row r="63" spans="1:4" x14ac:dyDescent="0.25">
      <c r="A63" t="s">
        <v>132</v>
      </c>
      <c r="B63" t="s">
        <v>133</v>
      </c>
      <c r="C63" t="s">
        <v>18</v>
      </c>
      <c r="D63" t="s">
        <v>113</v>
      </c>
    </row>
    <row r="64" spans="1:4" x14ac:dyDescent="0.25">
      <c r="A64" t="s">
        <v>134</v>
      </c>
      <c r="B64" t="s">
        <v>135</v>
      </c>
      <c r="C64" t="s">
        <v>18</v>
      </c>
      <c r="D64" t="s">
        <v>113</v>
      </c>
    </row>
    <row r="65" spans="1:4" x14ac:dyDescent="0.25">
      <c r="A65" t="s">
        <v>136</v>
      </c>
      <c r="B65" t="s">
        <v>137</v>
      </c>
      <c r="C65" t="s">
        <v>18</v>
      </c>
      <c r="D65" t="s">
        <v>113</v>
      </c>
    </row>
    <row r="66" spans="1:4" x14ac:dyDescent="0.25">
      <c r="A66" t="s">
        <v>138</v>
      </c>
      <c r="B66" t="s">
        <v>139</v>
      </c>
      <c r="C66" t="s">
        <v>18</v>
      </c>
      <c r="D66" t="s">
        <v>113</v>
      </c>
    </row>
    <row r="67" spans="1:4" x14ac:dyDescent="0.25">
      <c r="A67" t="s">
        <v>140</v>
      </c>
      <c r="B67" t="s">
        <v>141</v>
      </c>
      <c r="C67" t="s">
        <v>18</v>
      </c>
      <c r="D67" t="s">
        <v>113</v>
      </c>
    </row>
    <row r="68" spans="1:4" x14ac:dyDescent="0.25">
      <c r="A68" t="s">
        <v>142</v>
      </c>
      <c r="B68" t="s">
        <v>143</v>
      </c>
      <c r="C68" t="s">
        <v>18</v>
      </c>
      <c r="D68" t="s">
        <v>113</v>
      </c>
    </row>
    <row r="69" spans="1:4" x14ac:dyDescent="0.25">
      <c r="A69" t="s">
        <v>144</v>
      </c>
      <c r="B69" t="s">
        <v>145</v>
      </c>
      <c r="C69" t="s">
        <v>18</v>
      </c>
      <c r="D69" t="s">
        <v>113</v>
      </c>
    </row>
    <row r="70" spans="1:4" x14ac:dyDescent="0.25">
      <c r="A70" t="s">
        <v>146</v>
      </c>
      <c r="B70" t="s">
        <v>147</v>
      </c>
      <c r="C70" t="s">
        <v>18</v>
      </c>
      <c r="D70" t="s">
        <v>113</v>
      </c>
    </row>
    <row r="71" spans="1:4" x14ac:dyDescent="0.25">
      <c r="A71" t="s">
        <v>148</v>
      </c>
      <c r="B71" t="s">
        <v>149</v>
      </c>
      <c r="C71" t="s">
        <v>18</v>
      </c>
      <c r="D71" t="s">
        <v>113</v>
      </c>
    </row>
    <row r="72" spans="1:4" x14ac:dyDescent="0.25">
      <c r="A72" t="s">
        <v>150</v>
      </c>
      <c r="B72" t="s">
        <v>151</v>
      </c>
      <c r="C72" t="s">
        <v>18</v>
      </c>
      <c r="D72" t="s">
        <v>113</v>
      </c>
    </row>
    <row r="73" spans="1:4" x14ac:dyDescent="0.25">
      <c r="A73" t="s">
        <v>152</v>
      </c>
      <c r="B73" t="s">
        <v>153</v>
      </c>
      <c r="C73" t="s">
        <v>18</v>
      </c>
      <c r="D73" t="s">
        <v>113</v>
      </c>
    </row>
    <row r="74" spans="1:4" x14ac:dyDescent="0.25">
      <c r="A74" t="s">
        <v>154</v>
      </c>
      <c r="B74" t="s">
        <v>155</v>
      </c>
      <c r="C74" t="s">
        <v>18</v>
      </c>
      <c r="D74" t="s">
        <v>113</v>
      </c>
    </row>
    <row r="75" spans="1:4" x14ac:dyDescent="0.25">
      <c r="A75" t="s">
        <v>156</v>
      </c>
      <c r="B75" t="s">
        <v>157</v>
      </c>
      <c r="C75" t="s">
        <v>57</v>
      </c>
      <c r="D75" t="s">
        <v>113</v>
      </c>
    </row>
    <row r="76" spans="1:4" x14ac:dyDescent="0.25">
      <c r="A76" t="s">
        <v>158</v>
      </c>
      <c r="B76" t="s">
        <v>159</v>
      </c>
      <c r="C76" t="s">
        <v>57</v>
      </c>
      <c r="D76" t="s">
        <v>113</v>
      </c>
    </row>
    <row r="77" spans="1:4" x14ac:dyDescent="0.25">
      <c r="A77" t="s">
        <v>160</v>
      </c>
      <c r="B77" t="s">
        <v>161</v>
      </c>
      <c r="C77" t="s">
        <v>57</v>
      </c>
      <c r="D77" t="s">
        <v>113</v>
      </c>
    </row>
    <row r="78" spans="1:4" x14ac:dyDescent="0.25">
      <c r="A78" t="s">
        <v>162</v>
      </c>
      <c r="B78" t="s">
        <v>163</v>
      </c>
      <c r="C78" t="s">
        <v>57</v>
      </c>
      <c r="D78" t="s">
        <v>113</v>
      </c>
    </row>
    <row r="79" spans="1:4" x14ac:dyDescent="0.25">
      <c r="A79" t="s">
        <v>164</v>
      </c>
      <c r="B79" t="s">
        <v>165</v>
      </c>
      <c r="C79" t="s">
        <v>57</v>
      </c>
      <c r="D79" t="s">
        <v>113</v>
      </c>
    </row>
    <row r="80" spans="1:4" x14ac:dyDescent="0.25">
      <c r="A80" t="s">
        <v>166</v>
      </c>
      <c r="B80" t="s">
        <v>167</v>
      </c>
      <c r="C80" t="s">
        <v>6</v>
      </c>
      <c r="D80" t="s">
        <v>168</v>
      </c>
    </row>
    <row r="81" spans="1:4" x14ac:dyDescent="0.25">
      <c r="A81" t="s">
        <v>169</v>
      </c>
      <c r="B81" t="s">
        <v>170</v>
      </c>
      <c r="C81" t="s">
        <v>6</v>
      </c>
      <c r="D81" t="s">
        <v>168</v>
      </c>
    </row>
    <row r="82" spans="1:4" x14ac:dyDescent="0.25">
      <c r="A82" t="s">
        <v>171</v>
      </c>
      <c r="B82" t="s">
        <v>172</v>
      </c>
      <c r="C82" t="s">
        <v>6</v>
      </c>
      <c r="D82" t="s">
        <v>168</v>
      </c>
    </row>
    <row r="83" spans="1:4" x14ac:dyDescent="0.25">
      <c r="A83" t="s">
        <v>173</v>
      </c>
      <c r="B83" t="s">
        <v>174</v>
      </c>
      <c r="C83" t="s">
        <v>6</v>
      </c>
      <c r="D83" t="s">
        <v>168</v>
      </c>
    </row>
    <row r="84" spans="1:4" x14ac:dyDescent="0.25">
      <c r="A84" t="s">
        <v>175</v>
      </c>
      <c r="B84" t="s">
        <v>176</v>
      </c>
      <c r="C84" t="s">
        <v>6</v>
      </c>
      <c r="D84" t="s">
        <v>168</v>
      </c>
    </row>
    <row r="85" spans="1:4" x14ac:dyDescent="0.25">
      <c r="A85" t="s">
        <v>177</v>
      </c>
      <c r="B85" t="s">
        <v>178</v>
      </c>
      <c r="C85" t="s">
        <v>6</v>
      </c>
      <c r="D85" t="s">
        <v>168</v>
      </c>
    </row>
    <row r="86" spans="1:4" x14ac:dyDescent="0.25">
      <c r="A86" t="s">
        <v>179</v>
      </c>
      <c r="B86" t="s">
        <v>180</v>
      </c>
      <c r="C86" t="s">
        <v>18</v>
      </c>
      <c r="D86" t="s">
        <v>168</v>
      </c>
    </row>
    <row r="87" spans="1:4" x14ac:dyDescent="0.25">
      <c r="A87" t="s">
        <v>181</v>
      </c>
      <c r="B87" t="s">
        <v>182</v>
      </c>
      <c r="C87" t="s">
        <v>18</v>
      </c>
      <c r="D87" t="s">
        <v>168</v>
      </c>
    </row>
    <row r="88" spans="1:4" x14ac:dyDescent="0.25">
      <c r="A88" t="s">
        <v>183</v>
      </c>
      <c r="B88" t="s">
        <v>184</v>
      </c>
      <c r="C88" t="s">
        <v>18</v>
      </c>
      <c r="D88" t="s">
        <v>168</v>
      </c>
    </row>
    <row r="89" spans="1:4" x14ac:dyDescent="0.25">
      <c r="A89" t="s">
        <v>185</v>
      </c>
      <c r="B89" t="s">
        <v>186</v>
      </c>
      <c r="C89" t="s">
        <v>18</v>
      </c>
      <c r="D89" t="s">
        <v>168</v>
      </c>
    </row>
    <row r="90" spans="1:4" x14ac:dyDescent="0.25">
      <c r="A90" t="s">
        <v>187</v>
      </c>
      <c r="B90" t="s">
        <v>188</v>
      </c>
      <c r="C90" t="s">
        <v>18</v>
      </c>
      <c r="D90" t="s">
        <v>168</v>
      </c>
    </row>
    <row r="91" spans="1:4" x14ac:dyDescent="0.25">
      <c r="A91" t="s">
        <v>189</v>
      </c>
      <c r="B91" t="s">
        <v>190</v>
      </c>
      <c r="C91" t="s">
        <v>18</v>
      </c>
      <c r="D91" t="s">
        <v>168</v>
      </c>
    </row>
    <row r="92" spans="1:4" x14ac:dyDescent="0.25">
      <c r="A92" t="s">
        <v>191</v>
      </c>
      <c r="B92" t="s">
        <v>192</v>
      </c>
      <c r="C92" t="s">
        <v>18</v>
      </c>
      <c r="D92" t="s">
        <v>168</v>
      </c>
    </row>
    <row r="93" spans="1:4" x14ac:dyDescent="0.25">
      <c r="A93" t="s">
        <v>193</v>
      </c>
      <c r="B93" t="s">
        <v>194</v>
      </c>
      <c r="C93" t="s">
        <v>18</v>
      </c>
      <c r="D93" t="s">
        <v>168</v>
      </c>
    </row>
    <row r="94" spans="1:4" x14ac:dyDescent="0.25">
      <c r="A94" t="s">
        <v>195</v>
      </c>
      <c r="B94" t="s">
        <v>196</v>
      </c>
      <c r="C94" t="s">
        <v>18</v>
      </c>
      <c r="D94" t="s">
        <v>168</v>
      </c>
    </row>
    <row r="95" spans="1:4" x14ac:dyDescent="0.25">
      <c r="A95" t="s">
        <v>197</v>
      </c>
      <c r="B95" t="s">
        <v>198</v>
      </c>
      <c r="C95" t="s">
        <v>18</v>
      </c>
      <c r="D95" t="s">
        <v>168</v>
      </c>
    </row>
    <row r="96" spans="1:4" x14ac:dyDescent="0.25">
      <c r="A96" t="s">
        <v>199</v>
      </c>
      <c r="B96" t="s">
        <v>200</v>
      </c>
      <c r="C96" t="s">
        <v>18</v>
      </c>
      <c r="D96" t="s">
        <v>168</v>
      </c>
    </row>
    <row r="97" spans="1:4" x14ac:dyDescent="0.25">
      <c r="A97" t="s">
        <v>201</v>
      </c>
      <c r="B97" t="s">
        <v>202</v>
      </c>
      <c r="C97" t="s">
        <v>18</v>
      </c>
      <c r="D97" t="s">
        <v>168</v>
      </c>
    </row>
    <row r="98" spans="1:4" x14ac:dyDescent="0.25">
      <c r="A98" t="s">
        <v>203</v>
      </c>
      <c r="B98" t="s">
        <v>204</v>
      </c>
      <c r="C98" t="s">
        <v>18</v>
      </c>
      <c r="D98" t="s">
        <v>168</v>
      </c>
    </row>
    <row r="99" spans="1:4" x14ac:dyDescent="0.25">
      <c r="A99" t="s">
        <v>205</v>
      </c>
      <c r="B99" t="s">
        <v>206</v>
      </c>
      <c r="C99" t="s">
        <v>18</v>
      </c>
      <c r="D99" t="s">
        <v>168</v>
      </c>
    </row>
    <row r="100" spans="1:4" x14ac:dyDescent="0.25">
      <c r="A100" t="s">
        <v>207</v>
      </c>
      <c r="B100" t="s">
        <v>208</v>
      </c>
      <c r="C100" t="s">
        <v>18</v>
      </c>
      <c r="D100" t="s">
        <v>168</v>
      </c>
    </row>
    <row r="101" spans="1:4" x14ac:dyDescent="0.25">
      <c r="A101" t="s">
        <v>209</v>
      </c>
      <c r="B101" t="s">
        <v>210</v>
      </c>
      <c r="C101" t="s">
        <v>18</v>
      </c>
      <c r="D101" t="s">
        <v>168</v>
      </c>
    </row>
    <row r="102" spans="1:4" x14ac:dyDescent="0.25">
      <c r="A102" t="s">
        <v>211</v>
      </c>
      <c r="B102" t="s">
        <v>212</v>
      </c>
      <c r="C102" t="s">
        <v>18</v>
      </c>
      <c r="D102" t="s">
        <v>168</v>
      </c>
    </row>
    <row r="103" spans="1:4" x14ac:dyDescent="0.25">
      <c r="A103" t="s">
        <v>213</v>
      </c>
      <c r="B103" t="s">
        <v>214</v>
      </c>
      <c r="C103" t="s">
        <v>18</v>
      </c>
      <c r="D103" t="s">
        <v>168</v>
      </c>
    </row>
    <row r="104" spans="1:4" x14ac:dyDescent="0.25">
      <c r="A104" t="s">
        <v>215</v>
      </c>
      <c r="B104" t="s">
        <v>216</v>
      </c>
      <c r="C104" t="s">
        <v>57</v>
      </c>
      <c r="D104" t="s">
        <v>168</v>
      </c>
    </row>
    <row r="105" spans="1:4" x14ac:dyDescent="0.25">
      <c r="A105" t="s">
        <v>217</v>
      </c>
      <c r="B105" t="s">
        <v>218</v>
      </c>
      <c r="C105" t="s">
        <v>57</v>
      </c>
      <c r="D105" t="s">
        <v>168</v>
      </c>
    </row>
    <row r="106" spans="1:4" x14ac:dyDescent="0.25">
      <c r="A106" t="s">
        <v>219</v>
      </c>
      <c r="B106" t="s">
        <v>220</v>
      </c>
      <c r="C106" t="s">
        <v>57</v>
      </c>
      <c r="D106" t="s">
        <v>168</v>
      </c>
    </row>
    <row r="107" spans="1:4" x14ac:dyDescent="0.25">
      <c r="A107" t="s">
        <v>221</v>
      </c>
      <c r="B107" t="s">
        <v>222</v>
      </c>
      <c r="C107" t="s">
        <v>57</v>
      </c>
      <c r="D107" t="s">
        <v>168</v>
      </c>
    </row>
    <row r="108" spans="1:4" x14ac:dyDescent="0.25">
      <c r="A108" t="s">
        <v>223</v>
      </c>
      <c r="B108" t="s">
        <v>224</v>
      </c>
      <c r="C108" t="s">
        <v>57</v>
      </c>
      <c r="D108" t="s">
        <v>168</v>
      </c>
    </row>
    <row r="109" spans="1:4" x14ac:dyDescent="0.25">
      <c r="A109" t="s">
        <v>225</v>
      </c>
      <c r="B109" t="s">
        <v>226</v>
      </c>
      <c r="C109" t="s">
        <v>57</v>
      </c>
      <c r="D109" t="s">
        <v>168</v>
      </c>
    </row>
    <row r="110" spans="1:4" x14ac:dyDescent="0.25">
      <c r="A110" t="s">
        <v>227</v>
      </c>
      <c r="B110" t="s">
        <v>228</v>
      </c>
      <c r="C110" t="s">
        <v>57</v>
      </c>
      <c r="D110" t="s">
        <v>168</v>
      </c>
    </row>
    <row r="111" spans="1:4" x14ac:dyDescent="0.25">
      <c r="A111" t="s">
        <v>229</v>
      </c>
      <c r="B111" t="s">
        <v>230</v>
      </c>
      <c r="C111" t="s">
        <v>57</v>
      </c>
      <c r="D111" t="s">
        <v>168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39B0-7ACB-4094-8788-928B4C7A69AF}">
  <dimension ref="A1:B5"/>
  <sheetViews>
    <sheetView showGridLines="0" workbookViewId="0"/>
  </sheetViews>
  <sheetFormatPr baseColWidth="10" defaultRowHeight="15" x14ac:dyDescent="0.25"/>
  <cols>
    <col min="1" max="1" width="17.5703125" bestFit="1" customWidth="1"/>
    <col min="2" max="2" width="17.28515625" bestFit="1" customWidth="1"/>
  </cols>
  <sheetData>
    <row r="1" spans="1:2" x14ac:dyDescent="0.25">
      <c r="A1" s="1" t="s">
        <v>231</v>
      </c>
      <c r="B1" t="s">
        <v>233</v>
      </c>
    </row>
    <row r="2" spans="1:2" x14ac:dyDescent="0.25">
      <c r="A2" s="2" t="s">
        <v>6</v>
      </c>
      <c r="B2">
        <v>18</v>
      </c>
    </row>
    <row r="3" spans="1:2" x14ac:dyDescent="0.25">
      <c r="A3" s="2" t="s">
        <v>18</v>
      </c>
      <c r="B3">
        <v>69</v>
      </c>
    </row>
    <row r="4" spans="1:2" x14ac:dyDescent="0.25">
      <c r="A4" s="2" t="s">
        <v>57</v>
      </c>
      <c r="B4">
        <v>23</v>
      </c>
    </row>
    <row r="5" spans="1:2" x14ac:dyDescent="0.25">
      <c r="A5" s="2" t="s">
        <v>232</v>
      </c>
      <c r="B5">
        <v>110</v>
      </c>
    </row>
  </sheetData>
  <conditionalFormatting sqref="A2:A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3258-39A3-4D3E-85D5-949845120865}">
  <dimension ref="A3:X7"/>
  <sheetViews>
    <sheetView workbookViewId="0"/>
  </sheetViews>
  <sheetFormatPr baseColWidth="10" defaultRowHeight="15" x14ac:dyDescent="0.25"/>
  <cols>
    <col min="1" max="1" width="11.42578125" style="3"/>
    <col min="2" max="2" width="22.28515625" style="3" customWidth="1"/>
    <col min="3" max="3" width="12.7109375" style="3" customWidth="1"/>
    <col min="4" max="24" width="11.42578125" style="3"/>
  </cols>
  <sheetData>
    <row r="3" spans="2:3" x14ac:dyDescent="0.25">
      <c r="B3" s="3" t="s">
        <v>234</v>
      </c>
      <c r="C3" s="4" t="s">
        <v>33</v>
      </c>
    </row>
    <row r="5" spans="2:3" x14ac:dyDescent="0.25">
      <c r="B5" s="3" t="s">
        <v>235</v>
      </c>
      <c r="C5" s="3" t="str">
        <f>VLOOKUP(C3, Staff[], 2, FALSE)</f>
        <v>Michele Williams</v>
      </c>
    </row>
    <row r="6" spans="2:3" x14ac:dyDescent="0.25">
      <c r="B6" s="3" t="s">
        <v>236</v>
      </c>
      <c r="C6" s="3" t="str">
        <f>VLOOKUP(C3, Staff[], 4, FALSE)</f>
        <v>emergency</v>
      </c>
    </row>
    <row r="7" spans="2:3" x14ac:dyDescent="0.25">
      <c r="B7" s="3" t="s">
        <v>237</v>
      </c>
      <c r="C7" s="3" t="str">
        <f>VLOOKUP(C3, Staff[], 3, FALSE)</f>
        <v>nurse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CFE80D-0152-40AD-BB2A-973039BD95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Inicio</vt:lpstr>
      <vt:lpstr>Datos</vt:lpstr>
      <vt:lpstr>Reporte</vt:lpstr>
      <vt:lpstr>Buscador_Pacientes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Centofanti</dc:creator>
  <cp:lastModifiedBy>SARA KESSLER</cp:lastModifiedBy>
  <dcterms:created xsi:type="dcterms:W3CDTF">2015-06-05T18:19:34Z</dcterms:created>
  <dcterms:modified xsi:type="dcterms:W3CDTF">2025-11-27T19:11:34Z</dcterms:modified>
</cp:coreProperties>
</file>